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volatileDependencies.xml" ContentType="application/vnd.openxmlformats-officedocument.spreadsheetml.volatileDependenc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05" windowWidth="14805" windowHeight="8010" activeTab="1"/>
  </bookViews>
  <sheets>
    <sheet name="PiBridge" sheetId="12" r:id="rId1"/>
    <sheet name="Demo" sheetId="13" r:id="rId2"/>
  </sheets>
  <functionGroups/>
  <calcPr calcId="124519"/>
</workbook>
</file>

<file path=xl/calcChain.xml><?xml version="1.0" encoding="utf-8"?>
<calcChain xmlns="http://schemas.openxmlformats.org/spreadsheetml/2006/main">
  <c r="K21" i="12"/>
  <c r="C17" i="13"/>
  <c r="Z17"/>
  <c r="C21" l="1"/>
  <c r="E21" s="1"/>
  <c r="C20"/>
  <c r="E20" s="1"/>
</calcChain>
</file>

<file path=xl/comments1.xml><?xml version="1.0" encoding="utf-8"?>
<comments xmlns="http://schemas.openxmlformats.org/spreadsheetml/2006/main">
  <authors>
    <author>ChokS</author>
  </authors>
  <commentList>
    <comment ref="G21" authorId="0">
      <text>
        <r>
          <rPr>
            <sz val="10"/>
            <color indexed="81"/>
            <rFont val="Cambria"/>
            <family val="1"/>
            <scheme val="major"/>
          </rPr>
          <t>Type Buy or Sell to Trigger Order Placement. This is a very basic example to show you 'How to place order in Pi using PiBridge.
You need to know basic VBA and Excel Functions to use PiBridge in Excel</t>
        </r>
      </text>
    </comment>
    <comment ref="J21" authorId="0">
      <text>
        <r>
          <rPr>
            <sz val="10"/>
            <color indexed="81"/>
            <rFont val="Cambria"/>
            <family val="1"/>
            <scheme val="major"/>
          </rPr>
          <t>Enter your zerodha client Id here else you will not get order alerts or live order placement.</t>
        </r>
      </text>
    </comment>
  </commentList>
</comments>
</file>

<file path=xl/sharedStrings.xml><?xml version="1.0" encoding="utf-8"?>
<sst xmlns="http://schemas.openxmlformats.org/spreadsheetml/2006/main" count="86" uniqueCount="71">
  <si>
    <t>EXCH</t>
  </si>
  <si>
    <t>NSE</t>
  </si>
  <si>
    <t>NFO</t>
  </si>
  <si>
    <t>MCX</t>
  </si>
  <si>
    <t>BSE</t>
  </si>
  <si>
    <t>CDS</t>
  </si>
  <si>
    <t>BFO</t>
  </si>
  <si>
    <t xml:space="preserve"> </t>
  </si>
  <si>
    <t>AXISBANK-EQ</t>
  </si>
  <si>
    <t>PlaceOrder( Exch ,  TrdSym ,  Trans , OrdType ,  Qty,  LmtPrice ,  TrgPrice , ProdType ,  ClientId )</t>
  </si>
  <si>
    <t>Example Usage:</t>
  </si>
  <si>
    <t>UDF Function:</t>
  </si>
  <si>
    <t>=PlaceOrder( "NSE" ,  "AXISBANK-EQ" ,  "BUY" , "MKT" ,  10,  0 ,  0 , "MIS" ,  "AB1234" )</t>
  </si>
  <si>
    <t>TRDSYM</t>
  </si>
  <si>
    <t>TRANS</t>
  </si>
  <si>
    <t>BUY</t>
  </si>
  <si>
    <t>SELL</t>
  </si>
  <si>
    <t>ORDTYPE</t>
  </si>
  <si>
    <t>MKT</t>
  </si>
  <si>
    <t>L</t>
  </si>
  <si>
    <t>SL</t>
  </si>
  <si>
    <t>SL-M</t>
  </si>
  <si>
    <t>PRODTYPE</t>
  </si>
  <si>
    <t>MIS</t>
  </si>
  <si>
    <t>NRML</t>
  </si>
  <si>
    <t>CNC</t>
  </si>
  <si>
    <t>CLIENT ID</t>
  </si>
  <si>
    <t>PARAMETERS</t>
  </si>
  <si>
    <t>Live Example: Placing BUY/SELL with IF condition</t>
  </si>
  <si>
    <t>Exch</t>
  </si>
  <si>
    <t>TrdSym</t>
  </si>
  <si>
    <t>ProdType</t>
  </si>
  <si>
    <t>OrdType</t>
  </si>
  <si>
    <t>Qty</t>
  </si>
  <si>
    <t>Trans</t>
  </si>
  <si>
    <t>ClientId</t>
  </si>
  <si>
    <t>LmtPrice</t>
  </si>
  <si>
    <t>TrgPrice</t>
  </si>
  <si>
    <t>STRING</t>
  </si>
  <si>
    <t>NUMBER</t>
  </si>
  <si>
    <t>FORMAT</t>
  </si>
  <si>
    <t>QTY</t>
  </si>
  <si>
    <t>LMTPRICE</t>
  </si>
  <si>
    <t>TRGPRICE</t>
  </si>
  <si>
    <t>Your Id</t>
  </si>
  <si>
    <t>As it is in Pi</t>
  </si>
  <si>
    <t>Non Zero Value for 'L' and 'SL' order type</t>
  </si>
  <si>
    <t>Non Zero Value for 'SL' and 'SL-M' order type</t>
  </si>
  <si>
    <t>Quantity as required</t>
  </si>
  <si>
    <t>Order</t>
  </si>
  <si>
    <t>Type</t>
  </si>
  <si>
    <t>AB1234</t>
  </si>
  <si>
    <t>Visit https://howutrade.in</t>
  </si>
  <si>
    <t>Note: Strings needs to be enclosed WITH 'Double Quotes' and numbers should be WITHOUT 'Double Quotes'</t>
  </si>
  <si>
    <t>Note: PiBridge must be enabled and set to 'Semi-Auto' or 'Complete' in Pi --&gt; View --&gt; User Settings</t>
  </si>
  <si>
    <r>
      <t xml:space="preserve">If 'Semi-Auto' You can see orders in Pi --&gt; Alerts --&gt; Generated Alerts </t>
    </r>
    <r>
      <rPr>
        <sz val="11"/>
        <color rgb="FFFF0000"/>
        <rFont val="Cambria"/>
        <family val="1"/>
        <scheme val="major"/>
      </rPr>
      <t>elseif</t>
    </r>
    <r>
      <rPr>
        <sz val="11"/>
        <color theme="1" tint="0.249977111117893"/>
        <rFont val="Cambria"/>
        <family val="1"/>
        <scheme val="major"/>
      </rPr>
      <t xml:space="preserve"> 'Complete' orders will be placed live and check in Order Book</t>
    </r>
  </si>
  <si>
    <t>A Simple Breakout system to demonstrate order placement from Excel using PiBridge</t>
  </si>
  <si>
    <t>Setup:</t>
  </si>
  <si>
    <t>Conditions:</t>
  </si>
  <si>
    <t>BUY --&gt; LTP &gt;= BUY Level</t>
  </si>
  <si>
    <t>SELL --&gt; LTP &lt;= SELL Level</t>
  </si>
  <si>
    <t>Data through RTD</t>
  </si>
  <si>
    <t>BUY &amp; SELL Levels</t>
  </si>
  <si>
    <t>Trd Sym</t>
  </si>
  <si>
    <t>LTP</t>
  </si>
  <si>
    <t>BUY Level</t>
  </si>
  <si>
    <t>SELL Level</t>
  </si>
  <si>
    <t>BUY Signal</t>
  </si>
  <si>
    <t>SELL Signal</t>
  </si>
  <si>
    <t>Client Id</t>
  </si>
  <si>
    <t>https://howutrade.in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</si>
</sst>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scheme val="minor"/>
    </font>
    <font>
      <sz val="11"/>
      <color theme="1" tint="0.249977111117893"/>
      <name val="Cambria"/>
      <family val="1"/>
      <scheme val="major"/>
    </font>
    <font>
      <sz val="10"/>
      <name val="Arial"/>
      <family val="2"/>
    </font>
    <font>
      <sz val="11"/>
      <color rgb="FF0000FF"/>
      <name val="Cambria"/>
      <family val="1"/>
      <scheme val="major"/>
    </font>
    <font>
      <sz val="10"/>
      <color indexed="81"/>
      <name val="Cambria"/>
      <family val="1"/>
      <scheme val="major"/>
    </font>
    <font>
      <sz val="11"/>
      <color rgb="FFFF0000"/>
      <name val="Cambria"/>
      <family val="1"/>
      <scheme val="major"/>
    </font>
    <font>
      <sz val="11"/>
      <color theme="9" tint="-0.499984740745262"/>
      <name val="Cambria"/>
      <family val="1"/>
      <scheme val="major"/>
    </font>
    <font>
      <sz val="11"/>
      <color rgb="FFD60093"/>
      <name val="Cambria"/>
      <family val="1"/>
      <scheme val="major"/>
    </font>
    <font>
      <u/>
      <sz val="11"/>
      <color theme="10"/>
      <name val="Calibri"/>
      <family val="2"/>
    </font>
    <font>
      <u/>
      <sz val="22"/>
      <color theme="10"/>
      <name val="Cambria"/>
      <family val="1"/>
      <scheme val="major"/>
    </font>
    <font>
      <sz val="22"/>
      <color theme="1" tint="0.249977111117893"/>
      <name val="Cambria"/>
      <family val="1"/>
      <scheme val="major"/>
    </font>
  </fonts>
  <fills count="11">
    <fill>
      <patternFill patternType="none"/>
    </fill>
    <fill>
      <patternFill patternType="gray125"/>
    </fill>
    <fill>
      <gradientFill degree="90">
        <stop position="0">
          <color theme="9" tint="-0.25098422193060094"/>
        </stop>
        <stop position="1">
          <color theme="9" tint="0.59999389629810485"/>
        </stop>
      </gradientFill>
    </fill>
    <fill>
      <gradientFill degree="90">
        <stop position="0">
          <color theme="8" tint="-0.25098422193060094"/>
        </stop>
        <stop position="1">
          <color theme="8" tint="0.59999389629810485"/>
        </stop>
      </gradientFill>
    </fill>
    <fill>
      <gradientFill degree="90">
        <stop position="0">
          <color theme="7" tint="-0.25098422193060094"/>
        </stop>
        <stop position="1">
          <color theme="7" tint="0.59999389629810485"/>
        </stop>
      </gradientFill>
    </fill>
    <fill>
      <gradientFill degree="90">
        <stop position="0">
          <color theme="6" tint="-0.25098422193060094"/>
        </stop>
        <stop position="1">
          <color theme="6" tint="0.59999389629810485"/>
        </stop>
      </gradientFill>
    </fill>
    <fill>
      <gradientFill degree="90">
        <stop position="0">
          <color theme="5" tint="-0.25098422193060094"/>
        </stop>
        <stop position="1">
          <color theme="5" tint="0.59999389629810485"/>
        </stop>
      </gradientFill>
    </fill>
    <fill>
      <gradientFill degree="90">
        <stop position="0">
          <color theme="4" tint="-0.25098422193060094"/>
        </stop>
        <stop position="1">
          <color theme="4" tint="0.59999389629810485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54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0" fontId="3" fillId="8" borderId="10" xfId="0" applyFont="1" applyFill="1" applyBorder="1" applyAlignment="1">
      <alignment vertical="center"/>
    </xf>
    <xf numFmtId="0" fontId="1" fillId="8" borderId="11" xfId="0" applyFont="1" applyFill="1" applyBorder="1" applyAlignment="1">
      <alignment vertical="center"/>
    </xf>
    <xf numFmtId="0" fontId="1" fillId="8" borderId="6" xfId="0" applyFont="1" applyFill="1" applyBorder="1" applyAlignment="1">
      <alignment vertical="center"/>
    </xf>
    <xf numFmtId="0" fontId="1" fillId="8" borderId="12" xfId="0" applyFont="1" applyFill="1" applyBorder="1" applyAlignment="1">
      <alignment vertical="center"/>
    </xf>
    <xf numFmtId="0" fontId="1" fillId="8" borderId="13" xfId="0" applyFont="1" applyFill="1" applyBorder="1" applyAlignment="1">
      <alignment vertical="center"/>
    </xf>
    <xf numFmtId="0" fontId="1" fillId="8" borderId="7" xfId="0" applyFont="1" applyFill="1" applyBorder="1" applyAlignment="1">
      <alignment vertical="center"/>
    </xf>
    <xf numFmtId="0" fontId="6" fillId="8" borderId="10" xfId="0" applyFont="1" applyFill="1" applyBorder="1" applyAlignment="1">
      <alignment vertical="center"/>
    </xf>
    <xf numFmtId="0" fontId="1" fillId="8" borderId="12" xfId="0" quotePrefix="1" applyFont="1" applyFill="1" applyBorder="1" applyAlignment="1">
      <alignment vertical="center"/>
    </xf>
    <xf numFmtId="0" fontId="1" fillId="8" borderId="1" xfId="0" applyFont="1" applyFill="1" applyBorder="1" applyAlignment="1">
      <alignment horizontal="center" vertical="center"/>
    </xf>
    <xf numFmtId="0" fontId="7" fillId="8" borderId="10" xfId="0" applyFont="1" applyFill="1" applyBorder="1" applyAlignment="1">
      <alignment vertical="center"/>
    </xf>
    <xf numFmtId="0" fontId="5" fillId="8" borderId="11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vertical="center"/>
    </xf>
    <xf numFmtId="0" fontId="1" fillId="8" borderId="14" xfId="0" applyFont="1" applyFill="1" applyBorder="1" applyAlignment="1">
      <alignment vertical="center"/>
    </xf>
    <xf numFmtId="0" fontId="1" fillId="8" borderId="1" xfId="0" applyFont="1" applyFill="1" applyBorder="1" applyAlignment="1">
      <alignment horizontal="left" vertical="center"/>
    </xf>
    <xf numFmtId="0" fontId="1" fillId="9" borderId="0" xfId="0" applyFont="1" applyFill="1" applyBorder="1" applyAlignment="1">
      <alignment vertical="center"/>
    </xf>
    <xf numFmtId="0" fontId="1" fillId="9" borderId="0" xfId="0" applyFont="1" applyFill="1" applyBorder="1" applyAlignment="1">
      <alignment horizontal="center" vertical="center"/>
    </xf>
    <xf numFmtId="0" fontId="1" fillId="8" borderId="12" xfId="0" applyFont="1" applyFill="1" applyBorder="1" applyAlignment="1">
      <alignment horizontal="center" vertical="center"/>
    </xf>
    <xf numFmtId="0" fontId="1" fillId="8" borderId="7" xfId="0" applyFont="1" applyFill="1" applyBorder="1" applyAlignment="1">
      <alignment horizontal="center" vertical="center"/>
    </xf>
    <xf numFmtId="0" fontId="1" fillId="0" borderId="14" xfId="0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1" xfId="0" applyFont="1" applyBorder="1" applyAlignment="1">
      <alignment horizontal="right" vertical="center"/>
    </xf>
    <xf numFmtId="0" fontId="1" fillId="0" borderId="2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10" borderId="1" xfId="0" applyFont="1" applyFill="1" applyBorder="1" applyAlignment="1">
      <alignment horizontal="right" vertical="center"/>
    </xf>
    <xf numFmtId="1" fontId="1" fillId="10" borderId="1" xfId="0" applyNumberFormat="1" applyFont="1" applyFill="1" applyBorder="1" applyAlignment="1">
      <alignment horizontal="right" vertical="center"/>
    </xf>
    <xf numFmtId="2" fontId="1" fillId="10" borderId="1" xfId="0" applyNumberFormat="1" applyFont="1" applyFill="1" applyBorder="1" applyAlignment="1">
      <alignment horizontal="right" vertical="center"/>
    </xf>
    <xf numFmtId="0" fontId="1" fillId="0" borderId="2" xfId="0" applyFont="1" applyBorder="1" applyAlignment="1">
      <alignment horizontal="center" vertical="center" textRotation="90"/>
    </xf>
    <xf numFmtId="0" fontId="1" fillId="0" borderId="3" xfId="0" applyFont="1" applyBorder="1" applyAlignment="1">
      <alignment horizontal="center" vertical="center" textRotation="90"/>
    </xf>
    <xf numFmtId="0" fontId="1" fillId="0" borderId="4" xfId="0" applyFont="1" applyBorder="1" applyAlignment="1">
      <alignment horizontal="center" vertical="center" textRotation="90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9" fillId="0" borderId="0" xfId="2" applyFont="1" applyAlignment="1" applyProtection="1">
      <alignment horizontal="center" vertical="center" textRotation="90"/>
    </xf>
    <xf numFmtId="0" fontId="10" fillId="0" borderId="0" xfId="0" applyFont="1" applyAlignment="1">
      <alignment horizontal="center" vertical="center" textRotation="90"/>
    </xf>
  </cellXfs>
  <cellStyles count="3">
    <cellStyle name="Hyperlink" xfId="2" builtinId="8"/>
    <cellStyle name="Normal" xfId="0" builtinId="0"/>
    <cellStyle name="Normal 2" xfId="1"/>
  </cellStyles>
  <dxfs count="4">
    <dxf>
      <fill>
        <patternFill>
          <bgColor rgb="FF79FF79"/>
        </patternFill>
      </fill>
    </dxf>
    <dxf>
      <fill>
        <patternFill>
          <bgColor rgb="FFFF6D6D"/>
        </patternFill>
      </fill>
    </dxf>
    <dxf>
      <font>
        <color theme="1" tint="0.24994659260841701"/>
      </font>
      <fill>
        <gradientFill degree="90">
          <stop position="0">
            <color rgb="FFFF0000"/>
          </stop>
          <stop position="1">
            <color rgb="FFFF9797"/>
          </stop>
        </gradientFill>
      </fill>
    </dxf>
    <dxf>
      <fill>
        <gradientFill degree="90">
          <stop position="0">
            <color rgb="FF00FF00"/>
          </stop>
          <stop position="1">
            <color rgb="FFA3FFA3"/>
          </stop>
        </gradientFill>
      </fill>
    </dxf>
  </dxfs>
  <tableStyles count="0" defaultTableStyle="TableStyleMedium9" defaultPivotStyle="PivotStyleLight16"/>
  <colors>
    <mruColors>
      <color rgb="FFFF6D6D"/>
      <color rgb="FF79FF79"/>
      <color rgb="FFFF9797"/>
      <color rgb="FFA3FFA3"/>
      <color rgb="FF57FF57"/>
      <color rgb="FFFF8F8F"/>
      <color rgb="FF9BFF9B"/>
      <color rgb="FF00FF00"/>
      <color rgb="FFFFFF99"/>
      <color rgb="FFD60093"/>
    </mruColors>
  </colors>
</styleSheet>
</file>

<file path=xl/volatileDependencies.xml><?xml version="1.0" encoding="utf-8"?>
<volTypes xmlns="http://schemas.openxmlformats.org/spreadsheetml/2006/main">
  <volType type="realTimeData">
    <main first="pi.rtdserver">
      <tp t="e">
        <v>#N/A</v>
        <stp/>
        <stp>NSE_AXISBANK-EQ</stp>
        <stp>Last</stp>
        <tr r="C17" s="1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howutrade.in/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M25"/>
  <sheetViews>
    <sheetView showGridLines="0" workbookViewId="0">
      <selection activeCell="B1" sqref="B1"/>
    </sheetView>
  </sheetViews>
  <sheetFormatPr defaultColWidth="13.7109375" defaultRowHeight="14.25"/>
  <cols>
    <col min="1" max="16384" width="13.7109375" style="4"/>
  </cols>
  <sheetData>
    <row r="1" spans="1:11">
      <c r="A1" s="52" t="s">
        <v>70</v>
      </c>
    </row>
    <row r="2" spans="1:11">
      <c r="A2" s="53"/>
      <c r="B2" s="46" t="s">
        <v>27</v>
      </c>
      <c r="C2" s="8" t="s">
        <v>0</v>
      </c>
      <c r="D2" s="9" t="s">
        <v>13</v>
      </c>
      <c r="E2" s="10" t="s">
        <v>14</v>
      </c>
      <c r="F2" s="11" t="s">
        <v>17</v>
      </c>
      <c r="G2" s="12" t="s">
        <v>22</v>
      </c>
      <c r="H2" s="13" t="s">
        <v>26</v>
      </c>
      <c r="I2" s="8" t="s">
        <v>41</v>
      </c>
      <c r="J2" s="9" t="s">
        <v>42</v>
      </c>
      <c r="K2" s="10" t="s">
        <v>43</v>
      </c>
    </row>
    <row r="3" spans="1:11">
      <c r="A3" s="53"/>
      <c r="B3" s="47"/>
      <c r="C3" s="5" t="s">
        <v>1</v>
      </c>
      <c r="D3" s="5" t="s">
        <v>45</v>
      </c>
      <c r="E3" s="5" t="s">
        <v>15</v>
      </c>
      <c r="F3" s="5" t="s">
        <v>18</v>
      </c>
      <c r="G3" s="5" t="s">
        <v>23</v>
      </c>
      <c r="H3" s="14" t="s">
        <v>44</v>
      </c>
      <c r="I3" s="49" t="s">
        <v>48</v>
      </c>
      <c r="J3" s="49" t="s">
        <v>46</v>
      </c>
      <c r="K3" s="49" t="s">
        <v>47</v>
      </c>
    </row>
    <row r="4" spans="1:11">
      <c r="A4" s="53"/>
      <c r="B4" s="47"/>
      <c r="C4" s="6" t="s">
        <v>2</v>
      </c>
      <c r="D4" s="6"/>
      <c r="E4" s="6" t="s">
        <v>16</v>
      </c>
      <c r="F4" s="6" t="s">
        <v>19</v>
      </c>
      <c r="G4" s="6" t="s">
        <v>24</v>
      </c>
      <c r="H4" s="15"/>
      <c r="I4" s="50"/>
      <c r="J4" s="50"/>
      <c r="K4" s="50"/>
    </row>
    <row r="5" spans="1:11">
      <c r="A5" s="53"/>
      <c r="B5" s="47"/>
      <c r="C5" s="6" t="s">
        <v>3</v>
      </c>
      <c r="D5" s="6"/>
      <c r="E5" s="6"/>
      <c r="F5" s="6" t="s">
        <v>20</v>
      </c>
      <c r="G5" s="6" t="s">
        <v>25</v>
      </c>
      <c r="H5" s="15"/>
      <c r="I5" s="50"/>
      <c r="J5" s="50"/>
      <c r="K5" s="50"/>
    </row>
    <row r="6" spans="1:11">
      <c r="A6" s="53"/>
      <c r="B6" s="47"/>
      <c r="C6" s="6" t="s">
        <v>4</v>
      </c>
      <c r="D6" s="6"/>
      <c r="E6" s="6"/>
      <c r="F6" s="6" t="s">
        <v>21</v>
      </c>
      <c r="G6" s="6"/>
      <c r="H6" s="15"/>
      <c r="I6" s="50"/>
      <c r="J6" s="50"/>
      <c r="K6" s="50"/>
    </row>
    <row r="7" spans="1:11">
      <c r="A7" s="53"/>
      <c r="B7" s="47"/>
      <c r="C7" s="6" t="s">
        <v>6</v>
      </c>
      <c r="D7" s="6"/>
      <c r="E7" s="6"/>
      <c r="F7" s="6"/>
      <c r="G7" s="6"/>
      <c r="H7" s="15"/>
      <c r="I7" s="50"/>
      <c r="J7" s="50"/>
      <c r="K7" s="50"/>
    </row>
    <row r="8" spans="1:11">
      <c r="A8" s="53"/>
      <c r="B8" s="48"/>
      <c r="C8" s="7" t="s">
        <v>5</v>
      </c>
      <c r="D8" s="7"/>
      <c r="E8" s="7"/>
      <c r="F8" s="7"/>
      <c r="G8" s="7"/>
      <c r="H8" s="16"/>
      <c r="I8" s="51"/>
      <c r="J8" s="51"/>
      <c r="K8" s="51"/>
    </row>
    <row r="9" spans="1:11">
      <c r="A9" s="53"/>
      <c r="B9" s="3" t="s">
        <v>40</v>
      </c>
      <c r="C9" s="3" t="s">
        <v>38</v>
      </c>
      <c r="D9" s="3" t="s">
        <v>38</v>
      </c>
      <c r="E9" s="3" t="s">
        <v>38</v>
      </c>
      <c r="F9" s="3" t="s">
        <v>38</v>
      </c>
      <c r="G9" s="3" t="s">
        <v>38</v>
      </c>
      <c r="H9" s="3" t="s">
        <v>38</v>
      </c>
      <c r="I9" s="3" t="s">
        <v>39</v>
      </c>
      <c r="J9" s="3" t="s">
        <v>39</v>
      </c>
      <c r="K9" s="3" t="s">
        <v>39</v>
      </c>
    </row>
    <row r="10" spans="1:11">
      <c r="A10" s="53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>
      <c r="A11" s="53"/>
      <c r="B11" s="17" t="s">
        <v>53</v>
      </c>
      <c r="C11" s="1"/>
      <c r="D11" s="1"/>
      <c r="E11" s="1"/>
      <c r="F11" s="1"/>
      <c r="G11" s="1"/>
      <c r="H11" s="1"/>
      <c r="I11" s="1"/>
      <c r="J11" s="1"/>
      <c r="K11" s="1"/>
    </row>
    <row r="12" spans="1:11">
      <c r="A12" s="53"/>
    </row>
    <row r="13" spans="1:11">
      <c r="A13" s="53"/>
      <c r="B13" s="18" t="s">
        <v>11</v>
      </c>
      <c r="C13" s="19"/>
      <c r="D13" s="19"/>
      <c r="E13" s="19"/>
      <c r="F13" s="19"/>
      <c r="G13" s="19"/>
      <c r="H13" s="19"/>
      <c r="I13" s="19"/>
      <c r="J13" s="19"/>
      <c r="K13" s="20"/>
    </row>
    <row r="14" spans="1:11">
      <c r="A14" s="53"/>
      <c r="B14" s="21" t="s">
        <v>9</v>
      </c>
      <c r="C14" s="22"/>
      <c r="D14" s="22"/>
      <c r="E14" s="22"/>
      <c r="F14" s="22"/>
      <c r="G14" s="22"/>
      <c r="H14" s="22"/>
      <c r="I14" s="22"/>
      <c r="J14" s="22"/>
      <c r="K14" s="23"/>
    </row>
    <row r="15" spans="1:11">
      <c r="A15" s="53"/>
    </row>
    <row r="16" spans="1:11">
      <c r="A16" s="53"/>
      <c r="B16" s="24" t="s">
        <v>10</v>
      </c>
      <c r="C16" s="19"/>
      <c r="D16" s="19"/>
      <c r="E16" s="19"/>
      <c r="F16" s="19"/>
      <c r="G16" s="19"/>
      <c r="H16" s="19"/>
      <c r="I16" s="19"/>
      <c r="J16" s="19"/>
      <c r="K16" s="20"/>
    </row>
    <row r="17" spans="1:13">
      <c r="A17" s="53"/>
      <c r="B17" s="25" t="s">
        <v>12</v>
      </c>
      <c r="C17" s="22"/>
      <c r="D17" s="22"/>
      <c r="E17" s="22"/>
      <c r="F17" s="22"/>
      <c r="G17" s="22"/>
      <c r="H17" s="22"/>
      <c r="I17" s="22"/>
      <c r="J17" s="22"/>
      <c r="K17" s="23"/>
    </row>
    <row r="19" spans="1:13">
      <c r="B19" s="27" t="s">
        <v>28</v>
      </c>
      <c r="C19" s="19"/>
      <c r="D19" s="19"/>
      <c r="E19" s="19"/>
      <c r="F19" s="19"/>
      <c r="G19" s="28" t="s">
        <v>50</v>
      </c>
      <c r="H19" s="19"/>
      <c r="I19" s="19"/>
      <c r="J19" s="19"/>
      <c r="K19" s="20"/>
      <c r="L19" s="33"/>
    </row>
    <row r="20" spans="1:13" s="2" customFormat="1">
      <c r="B20" s="35" t="s">
        <v>29</v>
      </c>
      <c r="C20" s="29" t="s">
        <v>30</v>
      </c>
      <c r="D20" s="29" t="s">
        <v>31</v>
      </c>
      <c r="E20" s="29" t="s">
        <v>32</v>
      </c>
      <c r="F20" s="29" t="s">
        <v>33</v>
      </c>
      <c r="G20" s="29" t="s">
        <v>34</v>
      </c>
      <c r="H20" s="29" t="s">
        <v>36</v>
      </c>
      <c r="I20" s="29" t="s">
        <v>37</v>
      </c>
      <c r="J20" s="29" t="s">
        <v>35</v>
      </c>
      <c r="K20" s="36" t="s">
        <v>49</v>
      </c>
      <c r="L20" s="34"/>
      <c r="M20" s="1"/>
    </row>
    <row r="21" spans="1:13" s="2" customFormat="1">
      <c r="B21" s="26" t="s">
        <v>1</v>
      </c>
      <c r="C21" s="26" t="s">
        <v>8</v>
      </c>
      <c r="D21" s="26" t="s">
        <v>23</v>
      </c>
      <c r="E21" s="26" t="s">
        <v>18</v>
      </c>
      <c r="F21" s="26">
        <v>10</v>
      </c>
      <c r="G21" s="26"/>
      <c r="H21" s="26">
        <v>0</v>
      </c>
      <c r="I21" s="26">
        <v>0</v>
      </c>
      <c r="J21" s="26" t="s">
        <v>51</v>
      </c>
      <c r="K21" s="32" t="str">
        <f>IF(G21="BUY",PlaceOrder( B21,  C21,  "BUY", E21,  F21,  H21,  I21, D21,  J21),IF(G21="SELL",PlaceOrder( B21,  C21,  "SELL", E21,  F21,  H21,  I21, D21,  J21 ),""))</f>
        <v/>
      </c>
      <c r="M21" s="1" t="s">
        <v>7</v>
      </c>
    </row>
    <row r="22" spans="1:13">
      <c r="B22" s="4" t="s">
        <v>54</v>
      </c>
    </row>
    <row r="23" spans="1:13">
      <c r="B23" s="4" t="s">
        <v>55</v>
      </c>
      <c r="G23" s="1"/>
    </row>
    <row r="24" spans="1:13">
      <c r="G24" s="1"/>
    </row>
    <row r="25" spans="1:13">
      <c r="B25" s="30" t="s">
        <v>52</v>
      </c>
      <c r="C25" s="31"/>
      <c r="D25" s="31"/>
      <c r="E25" s="37"/>
      <c r="F25" s="37"/>
      <c r="G25" s="37"/>
      <c r="H25" s="37"/>
      <c r="I25" s="37"/>
      <c r="J25" s="37"/>
      <c r="K25" s="38"/>
    </row>
  </sheetData>
  <mergeCells count="5">
    <mergeCell ref="B2:B8"/>
    <mergeCell ref="J3:J8"/>
    <mergeCell ref="K3:K8"/>
    <mergeCell ref="I3:I8"/>
    <mergeCell ref="A1:A17"/>
  </mergeCells>
  <hyperlinks>
    <hyperlink ref="A1" r:id="rId1"/>
  </hyperlinks>
  <pageMargins left="0.7" right="0.7" top="0.75" bottom="0.75" header="0.3" footer="0.3"/>
  <pageSetup paperSize="9" orientation="portrait" horizontalDpi="300" verticalDpi="300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2:Z21"/>
  <sheetViews>
    <sheetView showGridLines="0" tabSelected="1" workbookViewId="0">
      <selection activeCell="C63" sqref="C63"/>
    </sheetView>
  </sheetViews>
  <sheetFormatPr defaultRowHeight="14.25"/>
  <cols>
    <col min="1" max="1" width="9.140625" style="4"/>
    <col min="2" max="2" width="14" style="4" customWidth="1"/>
    <col min="3" max="3" width="25.7109375" style="4" customWidth="1"/>
    <col min="4" max="4" width="5.140625" style="4" customWidth="1"/>
    <col min="5" max="5" width="23.140625" style="4" customWidth="1"/>
    <col min="6" max="24" width="9.140625" style="4"/>
    <col min="25" max="25" width="9.28515625" style="4" bestFit="1" customWidth="1"/>
    <col min="26" max="16384" width="9.140625" style="4"/>
  </cols>
  <sheetData>
    <row r="2" spans="2:3">
      <c r="B2" s="4" t="s">
        <v>56</v>
      </c>
    </row>
    <row r="3" spans="2:3">
      <c r="B3" s="4" t="s">
        <v>57</v>
      </c>
    </row>
    <row r="4" spans="2:3">
      <c r="B4" s="4" t="s">
        <v>61</v>
      </c>
    </row>
    <row r="5" spans="2:3">
      <c r="B5" s="4" t="s">
        <v>62</v>
      </c>
    </row>
    <row r="7" spans="2:3">
      <c r="B7" s="4" t="s">
        <v>58</v>
      </c>
    </row>
    <row r="8" spans="2:3">
      <c r="B8" s="4" t="s">
        <v>59</v>
      </c>
    </row>
    <row r="9" spans="2:3">
      <c r="B9" s="4" t="s">
        <v>60</v>
      </c>
    </row>
    <row r="11" spans="2:3">
      <c r="B11" s="40" t="s">
        <v>69</v>
      </c>
      <c r="C11" s="43" t="s">
        <v>51</v>
      </c>
    </row>
    <row r="12" spans="2:3">
      <c r="B12" s="41" t="s">
        <v>29</v>
      </c>
      <c r="C12" s="43" t="s">
        <v>1</v>
      </c>
    </row>
    <row r="13" spans="2:3">
      <c r="B13" s="41" t="s">
        <v>63</v>
      </c>
      <c r="C13" s="43" t="s">
        <v>8</v>
      </c>
    </row>
    <row r="14" spans="2:3">
      <c r="B14" s="41" t="s">
        <v>33</v>
      </c>
      <c r="C14" s="44">
        <v>10</v>
      </c>
    </row>
    <row r="15" spans="2:3">
      <c r="B15" s="41" t="s">
        <v>65</v>
      </c>
      <c r="C15" s="45">
        <v>400.55</v>
      </c>
    </row>
    <row r="16" spans="2:3">
      <c r="B16" s="41" t="s">
        <v>66</v>
      </c>
      <c r="C16" s="45">
        <v>399</v>
      </c>
    </row>
    <row r="17" spans="2:26">
      <c r="B17" s="42" t="s">
        <v>64</v>
      </c>
      <c r="C17" s="39" t="e">
        <f>RTD("pi.rtdserver",,C12&amp;"_"&amp;C13, "Last")</f>
        <v>#N/A</v>
      </c>
      <c r="Z17" s="4">
        <f>IFERROR(GetValueColor(C13,C17,"Ltp"),0)</f>
        <v>0</v>
      </c>
    </row>
    <row r="20" spans="2:26">
      <c r="B20" s="40" t="s">
        <v>67</v>
      </c>
      <c r="C20" s="3" t="e">
        <f>IF(AND(C17&gt;=C15,C15&gt;0,ISNUMBER(C17)),"BUY", "NO")</f>
        <v>#N/A</v>
      </c>
      <c r="E20" s="3" t="e">
        <f>IF(C20="BUY",PlaceOrder( C12,  C13,  "BUY", "MKT",  C14,  0,  0, "MIS", C11 ),"NO")</f>
        <v>#N/A</v>
      </c>
    </row>
    <row r="21" spans="2:26">
      <c r="B21" s="42" t="s">
        <v>68</v>
      </c>
      <c r="C21" s="3" t="e">
        <f>IF(AND(C17&lt;=C16,C16&gt;0,ISNUMBER(C17)),"SELL", "NO")</f>
        <v>#N/A</v>
      </c>
      <c r="E21" s="3" t="e">
        <f>IF(C21="SELL",PlaceOrder( C12, C13,  "SELL", "MKT",  C14,  0,  0, "MIS",  C11 ),"NO")</f>
        <v>#N/A</v>
      </c>
    </row>
  </sheetData>
  <conditionalFormatting sqref="C20">
    <cfRule type="containsText" dxfId="3" priority="4" operator="containsText" text="BUY">
      <formula>NOT(ISERROR(SEARCH("BUY",C20)))</formula>
    </cfRule>
  </conditionalFormatting>
  <conditionalFormatting sqref="C21">
    <cfRule type="containsText" dxfId="2" priority="3" operator="containsText" text="SELL">
      <formula>NOT(ISERROR(SEARCH("SELL",C21)))</formula>
    </cfRule>
  </conditionalFormatting>
  <conditionalFormatting sqref="C17">
    <cfRule type="expression" dxfId="1" priority="1">
      <formula>Z17=-1</formula>
    </cfRule>
    <cfRule type="expression" dxfId="0" priority="2">
      <formula>Z17=1</formula>
    </cfRule>
  </conditionalFormatting>
  <dataValidations count="3">
    <dataValidation type="whole" allowBlank="1" showInputMessage="1" showErrorMessage="1" errorTitle="You are wrong...!" error="Please enter valid number between 1-10000" sqref="C14">
      <formula1>1</formula1>
      <formula2>10000</formula2>
    </dataValidation>
    <dataValidation type="decimal" allowBlank="1" showInputMessage="1" showErrorMessage="1" errorTitle="You are wrong...!" error="Please enter valid number between 1-50000" sqref="C15:C16">
      <formula1>1</formula1>
      <formula2>50000</formula2>
    </dataValidation>
    <dataValidation type="list" allowBlank="1" showInputMessage="1" showErrorMessage="1" sqref="C12">
      <formula1>"NSE,NFO,MCX"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PiBridge</vt:lpstr>
      <vt:lpstr>Demo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Tech-PC</dc:creator>
  <cp:lastModifiedBy>Windows User</cp:lastModifiedBy>
  <dcterms:created xsi:type="dcterms:W3CDTF">2006-09-16T00:00:00Z</dcterms:created>
  <dcterms:modified xsi:type="dcterms:W3CDTF">2018-07-17T15:16:53Z</dcterms:modified>
</cp:coreProperties>
</file>